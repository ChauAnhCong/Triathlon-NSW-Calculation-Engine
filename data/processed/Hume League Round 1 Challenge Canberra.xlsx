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lligence-my.sharepoint.com/personal/sarah_gordon_billigence_com/Documents/Documents/1. Clients/Triathlon NSW, Sept 2025/Triathlon NSW Calculation Engine/data/processed/"/>
    </mc:Choice>
  </mc:AlternateContent>
  <xr:revisionPtr revIDLastSave="659" documentId="8_{979461A9-4502-4824-8C80-0EEDCD82123D}" xr6:coauthVersionLast="47" xr6:coauthVersionMax="47" xr10:uidLastSave="{8BBCB049-6C7C-4364-BCB6-54E03A10A464}"/>
  <bookViews>
    <workbookView xWindow="21780" yWindow="-13695" windowWidth="21600" windowHeight="11175" firstSheet="1" activeTab="5" xr2:uid="{DFD58459-1D91-46FB-9458-B4E90A936F58}"/>
  </bookViews>
  <sheets>
    <sheet name="Hume Round 1 70.3" sheetId="1" r:id="rId1"/>
    <sheet name="Hume Round 1 Standard" sheetId="4" r:id="rId2"/>
    <sheet name="Standard Aquabike" sheetId="8" r:id="rId3"/>
    <sheet name="Hume Round 1 Sprint" sheetId="5" r:id="rId4"/>
    <sheet name="Hume Round 1 Super Sprint" sheetId="7" r:id="rId5"/>
    <sheet name="Current ICL Eligible Number" sheetId="3" r:id="rId6"/>
    <sheet name="Adams manual Calculations" sheetId="6" r:id="rId7"/>
  </sheets>
  <definedNames>
    <definedName name="_xlnm._FilterDatabase" localSheetId="0" hidden="1">'Hume Round 1 70.3'!$A$1:$G$1</definedName>
    <definedName name="_xlnm._FilterDatabase" localSheetId="3" hidden="1">'Hume Round 1 Sprint'!$A$1:$G$1</definedName>
    <definedName name="_xlnm._FilterDatabase" localSheetId="1" hidden="1">'Hume Round 1 Standard'!$A$1:$G$5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3" l="1"/>
  <c r="D14" i="6"/>
  <c r="B11" i="6"/>
  <c r="B12" i="6"/>
  <c r="D12" i="6" s="1"/>
  <c r="B13" i="6"/>
  <c r="D13" i="6" s="1"/>
  <c r="B14" i="6"/>
  <c r="H7" i="6"/>
  <c r="I7" i="6"/>
  <c r="I6" i="6"/>
  <c r="G7" i="6"/>
  <c r="E4" i="3"/>
  <c r="D4" i="3"/>
  <c r="C4" i="3"/>
  <c r="B10" i="6"/>
  <c r="D10" i="6" s="1"/>
  <c r="D11" i="6"/>
  <c r="G4" i="6"/>
  <c r="H4" i="6" s="1"/>
  <c r="G5" i="6"/>
  <c r="H5" i="6" s="1"/>
  <c r="G6" i="6"/>
  <c r="H6" i="6" s="1"/>
  <c r="G3" i="6"/>
  <c r="H3" i="6" s="1"/>
  <c r="E3" i="3"/>
  <c r="E6" i="3"/>
  <c r="E5" i="3"/>
  <c r="E2" i="3"/>
  <c r="D6" i="3"/>
  <c r="D3" i="3"/>
  <c r="D2" i="3"/>
  <c r="C6" i="3"/>
  <c r="C3" i="3"/>
  <c r="C2" i="3"/>
</calcChain>
</file>

<file path=xl/sharedStrings.xml><?xml version="1.0" encoding="utf-8"?>
<sst xmlns="http://schemas.openxmlformats.org/spreadsheetml/2006/main" count="126" uniqueCount="66">
  <si>
    <t>First Name</t>
  </si>
  <si>
    <t xml:space="preserve">Surname </t>
  </si>
  <si>
    <t>Performance points Participation points or both</t>
  </si>
  <si>
    <t>Club</t>
  </si>
  <si>
    <t>ICL Eligible Number</t>
  </si>
  <si>
    <t>TA Number</t>
  </si>
  <si>
    <t xml:space="preserve">Category </t>
  </si>
  <si>
    <t xml:space="preserve">Category Finish Place </t>
  </si>
  <si>
    <t xml:space="preserve">Club Name </t>
  </si>
  <si>
    <t>Highlands Triathlon Club</t>
  </si>
  <si>
    <t xml:space="preserve">Per P &amp; Part P </t>
  </si>
  <si>
    <t>15PTS (5%)</t>
  </si>
  <si>
    <t>30 PTS (10%)</t>
  </si>
  <si>
    <t>45 PTS (20%)</t>
  </si>
  <si>
    <t xml:space="preserve">Part P </t>
  </si>
  <si>
    <t>Mason</t>
  </si>
  <si>
    <t>Sprint Performance Total</t>
  </si>
  <si>
    <t>Standard Performance Total</t>
  </si>
  <si>
    <t>Total that raced</t>
  </si>
  <si>
    <t>Number that finished Sprint</t>
  </si>
  <si>
    <t>Number that finished Standard</t>
  </si>
  <si>
    <t>Number that finished aquabike</t>
  </si>
  <si>
    <t>Total Performance Points</t>
  </si>
  <si>
    <t>Total Participation Points</t>
  </si>
  <si>
    <t>Total Round 1</t>
  </si>
  <si>
    <t>% of elgible</t>
  </si>
  <si>
    <t>Participation Points</t>
  </si>
  <si>
    <t>Adam</t>
  </si>
  <si>
    <t>Scott</t>
  </si>
  <si>
    <t>Michael</t>
  </si>
  <si>
    <t>Male 40-44</t>
  </si>
  <si>
    <t>Male 30-34</t>
  </si>
  <si>
    <t>Female 30-34</t>
  </si>
  <si>
    <t>Female 60-64</t>
  </si>
  <si>
    <t>Donaldson</t>
  </si>
  <si>
    <t>TA102036</t>
  </si>
  <si>
    <t>Wagga Triathlon Club</t>
  </si>
  <si>
    <t>Goulburn Triathlon club</t>
  </si>
  <si>
    <t>Yass Valley Triathlon Club</t>
  </si>
  <si>
    <t>Leeton Triathlon Club</t>
  </si>
  <si>
    <t>McDonnell</t>
  </si>
  <si>
    <t>Rory</t>
  </si>
  <si>
    <t>Pearsall</t>
  </si>
  <si>
    <t>McGillion</t>
  </si>
  <si>
    <t>Carolina</t>
  </si>
  <si>
    <t>Merriman</t>
  </si>
  <si>
    <t>Brodie</t>
  </si>
  <si>
    <t>TA138853</t>
  </si>
  <si>
    <t>TA133321</t>
  </si>
  <si>
    <t>TA129006</t>
  </si>
  <si>
    <t>TA139946</t>
  </si>
  <si>
    <t>Ta128635</t>
  </si>
  <si>
    <t>Goulburn Triathlon Club</t>
  </si>
  <si>
    <t>Clifford</t>
  </si>
  <si>
    <t>Brown</t>
  </si>
  <si>
    <t>TA135859</t>
  </si>
  <si>
    <t xml:space="preserve">Male 50-54 </t>
  </si>
  <si>
    <t>Drew</t>
  </si>
  <si>
    <t>Macarthur</t>
  </si>
  <si>
    <t>TA131604</t>
  </si>
  <si>
    <t>Jessica</t>
  </si>
  <si>
    <t>Goode</t>
  </si>
  <si>
    <t>TA131675</t>
  </si>
  <si>
    <t>Helen</t>
  </si>
  <si>
    <t>MacArthur</t>
  </si>
  <si>
    <t>TA131465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</si>
</sst>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4" fillId="0" borderId="1" xfId="0" applyFont="1" applyBorder="1"/>
    <xf numFmtId="0" fontId="5" fillId="2" borderId="1" xfId="0" applyFont="1" applyFill="1" applyBorder="1"/>
    <xf numFmtId="0" fontId="6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top"/>
    </xf>
    <xf numFmtId="0" fontId="7" fillId="0" borderId="3" xfId="0" applyFont="1" applyBorder="1" applyAlignment="1">
      <alignment vertical="center"/>
    </xf>
    <xf numFmtId="0" fontId="4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3" borderId="1" xfId="0" applyFont="1" applyFill="1" applyBorder="1" applyAlignment="1">
      <alignment horizontal="center"/>
    </xf>
    <xf numFmtId="9" fontId="0" fillId="0" borderId="1" xfId="1" applyFont="1" applyBorder="1"/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164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84C6B-0455-4186-B989-74F6EFB9D931}">
  <dimension ref="A1:G3"/>
  <sheetViews>
    <sheetView workbookViewId="0">
      <selection activeCell="A2" sqref="A2:G2"/>
    </sheetView>
  </sheetViews>
  <sheetFormatPr defaultRowHeight="14.5" x14ac:dyDescent="0.35"/>
  <cols>
    <col min="1" max="1" width="18" customWidth="1"/>
    <col min="2" max="2" width="14.1796875" bestFit="1" customWidth="1"/>
    <col min="3" max="3" width="14" customWidth="1"/>
    <col min="4" max="4" width="11.81640625" bestFit="1" customWidth="1"/>
    <col min="5" max="5" width="24" style="11" bestFit="1" customWidth="1"/>
    <col min="6" max="6" width="19.1796875" bestFit="1" customWidth="1"/>
    <col min="7" max="7" width="44.26953125" bestFit="1" customWidth="1"/>
  </cols>
  <sheetData>
    <row r="1" spans="1:7" x14ac:dyDescent="0.35">
      <c r="A1" s="2" t="s">
        <v>0</v>
      </c>
      <c r="B1" s="2" t="s">
        <v>1</v>
      </c>
      <c r="C1" s="2" t="s">
        <v>5</v>
      </c>
      <c r="D1" s="3" t="s">
        <v>6</v>
      </c>
      <c r="E1" s="9" t="s">
        <v>7</v>
      </c>
      <c r="F1" s="3" t="s">
        <v>8</v>
      </c>
      <c r="G1" s="2" t="s">
        <v>2</v>
      </c>
    </row>
    <row r="2" spans="1:7" x14ac:dyDescent="0.35">
      <c r="A2" s="11" t="s">
        <v>28</v>
      </c>
      <c r="B2" s="11" t="s">
        <v>34</v>
      </c>
      <c r="C2" s="11" t="s">
        <v>35</v>
      </c>
      <c r="D2" s="11" t="s">
        <v>30</v>
      </c>
      <c r="E2" s="11">
        <v>8</v>
      </c>
      <c r="F2" s="11" t="s">
        <v>36</v>
      </c>
      <c r="G2" s="10" t="s">
        <v>10</v>
      </c>
    </row>
    <row r="3" spans="1:7" x14ac:dyDescent="0.35">
      <c r="E3"/>
    </row>
  </sheetData>
  <autoFilter ref="A1:G1" xr:uid="{AC284C6B-0455-4186-B989-74F6EFB9D93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68F9-0AB3-4D7B-807B-82718534181A}">
  <dimension ref="A1:G6"/>
  <sheetViews>
    <sheetView workbookViewId="0">
      <selection activeCell="F5" sqref="F5"/>
    </sheetView>
  </sheetViews>
  <sheetFormatPr defaultRowHeight="14.5" x14ac:dyDescent="0.35"/>
  <cols>
    <col min="1" max="1" width="9.6328125" bestFit="1" customWidth="1"/>
    <col min="2" max="2" width="10" bestFit="1" customWidth="1"/>
    <col min="3" max="3" width="9.6328125" bestFit="1" customWidth="1"/>
    <col min="4" max="4" width="11.81640625" bestFit="1" customWidth="1"/>
    <col min="5" max="5" width="18.81640625" style="11" bestFit="1" customWidth="1"/>
    <col min="6" max="6" width="27" bestFit="1" customWidth="1"/>
    <col min="7" max="7" width="39.36328125" bestFit="1" customWidth="1"/>
  </cols>
  <sheetData>
    <row r="1" spans="1:7" x14ac:dyDescent="0.35">
      <c r="A1" s="2" t="s">
        <v>0</v>
      </c>
      <c r="B1" s="2" t="s">
        <v>1</v>
      </c>
      <c r="C1" s="2" t="s">
        <v>5</v>
      </c>
      <c r="D1" s="3" t="s">
        <v>6</v>
      </c>
      <c r="E1" s="9" t="s">
        <v>7</v>
      </c>
      <c r="F1" s="3" t="s">
        <v>8</v>
      </c>
      <c r="G1" s="2" t="s">
        <v>2</v>
      </c>
    </row>
    <row r="2" spans="1:7" x14ac:dyDescent="0.35">
      <c r="A2" s="10" t="s">
        <v>27</v>
      </c>
      <c r="B2" s="10" t="s">
        <v>40</v>
      </c>
      <c r="C2" s="10" t="s">
        <v>47</v>
      </c>
      <c r="D2" s="10" t="s">
        <v>31</v>
      </c>
      <c r="E2" s="10">
        <v>6</v>
      </c>
      <c r="F2" s="10" t="s">
        <v>38</v>
      </c>
      <c r="G2" s="10" t="s">
        <v>10</v>
      </c>
    </row>
    <row r="3" spans="1:7" x14ac:dyDescent="0.35">
      <c r="A3" s="10" t="s">
        <v>41</v>
      </c>
      <c r="B3" s="10" t="s">
        <v>42</v>
      </c>
      <c r="C3" s="10" t="s">
        <v>48</v>
      </c>
      <c r="D3" s="10" t="s">
        <v>31</v>
      </c>
      <c r="E3" s="10">
        <v>15</v>
      </c>
      <c r="F3" s="10" t="s">
        <v>38</v>
      </c>
      <c r="G3" s="10" t="s">
        <v>10</v>
      </c>
    </row>
    <row r="4" spans="1:7" x14ac:dyDescent="0.35">
      <c r="A4" s="10" t="s">
        <v>29</v>
      </c>
      <c r="B4" s="10" t="s">
        <v>43</v>
      </c>
      <c r="C4" s="10" t="s">
        <v>49</v>
      </c>
      <c r="D4" s="10" t="s">
        <v>30</v>
      </c>
      <c r="E4" s="10">
        <v>8</v>
      </c>
      <c r="F4" s="10" t="s">
        <v>52</v>
      </c>
      <c r="G4" s="10" t="s">
        <v>10</v>
      </c>
    </row>
    <row r="5" spans="1:7" x14ac:dyDescent="0.35">
      <c r="A5" s="4" t="s">
        <v>44</v>
      </c>
      <c r="B5" s="4" t="s">
        <v>45</v>
      </c>
      <c r="C5" s="4" t="s">
        <v>50</v>
      </c>
      <c r="D5" s="4" t="s">
        <v>32</v>
      </c>
      <c r="E5" s="10">
        <v>20</v>
      </c>
      <c r="F5" s="10" t="s">
        <v>38</v>
      </c>
      <c r="G5" s="10" t="s">
        <v>10</v>
      </c>
    </row>
    <row r="6" spans="1:7" x14ac:dyDescent="0.35">
      <c r="A6" s="10" t="s">
        <v>46</v>
      </c>
      <c r="B6" s="10" t="s">
        <v>15</v>
      </c>
      <c r="C6" s="10" t="s">
        <v>51</v>
      </c>
      <c r="D6" s="10" t="s">
        <v>31</v>
      </c>
      <c r="E6" s="10">
        <v>22</v>
      </c>
      <c r="F6" s="10" t="s">
        <v>52</v>
      </c>
      <c r="G6" s="10" t="s">
        <v>10</v>
      </c>
    </row>
  </sheetData>
  <autoFilter ref="A1:G5" xr:uid="{6BFA68F9-0AB3-4D7B-807B-82718534181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317B2-907C-427C-A904-D9D01E842908}">
  <dimension ref="A1:G2"/>
  <sheetViews>
    <sheetView workbookViewId="0">
      <selection activeCell="F16" sqref="F16"/>
    </sheetView>
  </sheetViews>
  <sheetFormatPr defaultRowHeight="14.5" x14ac:dyDescent="0.35"/>
  <cols>
    <col min="1" max="1" width="9.6328125" bestFit="1" customWidth="1"/>
    <col min="2" max="2" width="9.81640625" bestFit="1" customWidth="1"/>
    <col min="3" max="3" width="9.6328125" bestFit="1" customWidth="1"/>
    <col min="4" max="4" width="10.08984375" bestFit="1" customWidth="1"/>
    <col min="5" max="5" width="18.81640625" bestFit="1" customWidth="1"/>
    <col min="6" max="6" width="22.26953125" bestFit="1" customWidth="1"/>
    <col min="7" max="7" width="39.36328125" bestFit="1" customWidth="1"/>
  </cols>
  <sheetData>
    <row r="1" spans="1:7" x14ac:dyDescent="0.35">
      <c r="A1" s="2" t="s">
        <v>0</v>
      </c>
      <c r="B1" s="2" t="s">
        <v>1</v>
      </c>
      <c r="C1" s="2" t="s">
        <v>5</v>
      </c>
      <c r="D1" s="3" t="s">
        <v>6</v>
      </c>
      <c r="E1" s="9" t="s">
        <v>7</v>
      </c>
      <c r="F1" s="3" t="s">
        <v>8</v>
      </c>
      <c r="G1" s="2" t="s">
        <v>2</v>
      </c>
    </row>
    <row r="2" spans="1:7" x14ac:dyDescent="0.35">
      <c r="A2" s="10" t="s">
        <v>53</v>
      </c>
      <c r="B2" s="10" t="s">
        <v>54</v>
      </c>
      <c r="C2" s="10" t="s">
        <v>55</v>
      </c>
      <c r="D2" s="10" t="s">
        <v>56</v>
      </c>
      <c r="E2" s="10">
        <v>2</v>
      </c>
      <c r="F2" s="10" t="s">
        <v>52</v>
      </c>
      <c r="G2" s="10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3307A-3ACF-4B8B-A591-C4BBEE4B6E5A}">
  <dimension ref="A1:G3"/>
  <sheetViews>
    <sheetView workbookViewId="0">
      <selection activeCell="F2" sqref="F2"/>
    </sheetView>
  </sheetViews>
  <sheetFormatPr defaultRowHeight="14.5" x14ac:dyDescent="0.35"/>
  <cols>
    <col min="1" max="1" width="17.08984375" customWidth="1"/>
    <col min="2" max="2" width="10.6328125" bestFit="1" customWidth="1"/>
    <col min="3" max="3" width="11.90625" bestFit="1" customWidth="1"/>
    <col min="4" max="4" width="11.81640625" bestFit="1" customWidth="1"/>
    <col min="5" max="5" width="18.81640625" bestFit="1" customWidth="1"/>
    <col min="6" max="6" width="25.7265625" bestFit="1" customWidth="1"/>
    <col min="7" max="7" width="39.36328125" bestFit="1" customWidth="1"/>
  </cols>
  <sheetData>
    <row r="1" spans="1:7" x14ac:dyDescent="0.35">
      <c r="A1" s="2" t="s">
        <v>0</v>
      </c>
      <c r="B1" s="2" t="s">
        <v>1</v>
      </c>
      <c r="C1" s="2" t="s">
        <v>5</v>
      </c>
      <c r="D1" s="3" t="s">
        <v>6</v>
      </c>
      <c r="E1" s="3" t="s">
        <v>7</v>
      </c>
      <c r="F1" s="3" t="s">
        <v>8</v>
      </c>
      <c r="G1" s="2" t="s">
        <v>2</v>
      </c>
    </row>
    <row r="2" spans="1:7" x14ac:dyDescent="0.35">
      <c r="A2" s="14" t="s">
        <v>57</v>
      </c>
      <c r="B2" s="14" t="s">
        <v>58</v>
      </c>
      <c r="C2" s="14" t="s">
        <v>59</v>
      </c>
      <c r="D2" s="14" t="s">
        <v>32</v>
      </c>
      <c r="E2" s="14">
        <v>4</v>
      </c>
      <c r="F2" s="14" t="s">
        <v>38</v>
      </c>
      <c r="G2" s="10" t="s">
        <v>10</v>
      </c>
    </row>
    <row r="3" spans="1:7" x14ac:dyDescent="0.35">
      <c r="A3" s="14" t="s">
        <v>60</v>
      </c>
      <c r="B3" s="14" t="s">
        <v>61</v>
      </c>
      <c r="C3" s="14" t="s">
        <v>62</v>
      </c>
      <c r="D3" s="14" t="s">
        <v>32</v>
      </c>
      <c r="E3" s="14">
        <v>12</v>
      </c>
      <c r="F3" s="14" t="s">
        <v>38</v>
      </c>
      <c r="G3" s="10" t="s">
        <v>10</v>
      </c>
    </row>
  </sheetData>
  <autoFilter ref="A1:G1" xr:uid="{87A3307A-3ACF-4B8B-A591-C4BBEE4B6E5A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5825B-F965-4C9B-B255-E1739E59B319}">
  <dimension ref="A1:G2"/>
  <sheetViews>
    <sheetView workbookViewId="0">
      <selection activeCell="F2" sqref="F2"/>
    </sheetView>
  </sheetViews>
  <sheetFormatPr defaultRowHeight="14.5" x14ac:dyDescent="0.35"/>
  <cols>
    <col min="1" max="1" width="9.6328125" bestFit="1" customWidth="1"/>
    <col min="2" max="2" width="9.1796875" bestFit="1" customWidth="1"/>
    <col min="3" max="3" width="9.6328125" bestFit="1" customWidth="1"/>
    <col min="4" max="4" width="11.81640625" bestFit="1" customWidth="1"/>
    <col min="5" max="5" width="18.81640625" bestFit="1" customWidth="1"/>
    <col min="6" max="6" width="21.6328125" bestFit="1" customWidth="1"/>
    <col min="7" max="7" width="39.36328125" bestFit="1" customWidth="1"/>
  </cols>
  <sheetData>
    <row r="1" spans="1:7" x14ac:dyDescent="0.35">
      <c r="A1" s="2" t="s">
        <v>0</v>
      </c>
      <c r="B1" s="2" t="s">
        <v>1</v>
      </c>
      <c r="C1" s="2" t="s">
        <v>5</v>
      </c>
      <c r="D1" s="3" t="s">
        <v>6</v>
      </c>
      <c r="E1" s="3" t="s">
        <v>7</v>
      </c>
      <c r="F1" s="3" t="s">
        <v>8</v>
      </c>
      <c r="G1" s="2" t="s">
        <v>2</v>
      </c>
    </row>
    <row r="2" spans="1:7" x14ac:dyDescent="0.35">
      <c r="A2" s="14" t="s">
        <v>63</v>
      </c>
      <c r="B2" s="14" t="s">
        <v>64</v>
      </c>
      <c r="C2" s="14" t="s">
        <v>65</v>
      </c>
      <c r="D2" s="14" t="s">
        <v>33</v>
      </c>
      <c r="E2" s="14">
        <v>1</v>
      </c>
      <c r="F2" s="14" t="s">
        <v>38</v>
      </c>
      <c r="G2" s="10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F478-A21E-4210-8490-429845EAC8FD}">
  <dimension ref="A1:E13"/>
  <sheetViews>
    <sheetView tabSelected="1" workbookViewId="0">
      <selection activeCell="G5" sqref="G5"/>
    </sheetView>
  </sheetViews>
  <sheetFormatPr defaultRowHeight="14.5" x14ac:dyDescent="0.35"/>
  <cols>
    <col min="1" max="1" width="24.1796875" bestFit="1" customWidth="1"/>
    <col min="2" max="2" width="19.36328125" customWidth="1"/>
    <col min="3" max="3" width="10" bestFit="1" customWidth="1"/>
    <col min="4" max="4" width="11.453125" bestFit="1" customWidth="1"/>
    <col min="5" max="5" width="15.54296875" customWidth="1"/>
  </cols>
  <sheetData>
    <row r="1" spans="1:5" x14ac:dyDescent="0.35">
      <c r="A1" s="1" t="s">
        <v>3</v>
      </c>
      <c r="B1" s="7" t="s">
        <v>4</v>
      </c>
      <c r="C1" s="8" t="s">
        <v>11</v>
      </c>
      <c r="D1" s="8" t="s">
        <v>12</v>
      </c>
      <c r="E1" s="8" t="s">
        <v>13</v>
      </c>
    </row>
    <row r="2" spans="1:5" x14ac:dyDescent="0.35">
      <c r="A2" s="4" t="s">
        <v>37</v>
      </c>
      <c r="B2" s="6">
        <v>40</v>
      </c>
      <c r="C2" s="20">
        <f>B2*0.05</f>
        <v>2</v>
      </c>
      <c r="D2" s="20">
        <f>B2*0.1</f>
        <v>4</v>
      </c>
      <c r="E2" s="20">
        <f>B2*0.2</f>
        <v>8</v>
      </c>
    </row>
    <row r="3" spans="1:5" x14ac:dyDescent="0.35">
      <c r="A3" s="4" t="s">
        <v>9</v>
      </c>
      <c r="B3" s="6">
        <v>9</v>
      </c>
      <c r="C3" s="20">
        <f>B3*0.05</f>
        <v>0.45</v>
      </c>
      <c r="D3" s="20">
        <f>B3*0.1</f>
        <v>0.9</v>
      </c>
      <c r="E3" s="20">
        <f>B3*0.2</f>
        <v>1.8</v>
      </c>
    </row>
    <row r="4" spans="1:5" x14ac:dyDescent="0.35">
      <c r="A4" s="4" t="s">
        <v>39</v>
      </c>
      <c r="B4" s="6">
        <v>14</v>
      </c>
      <c r="C4" s="20">
        <f>B4*0.05</f>
        <v>0.70000000000000007</v>
      </c>
      <c r="D4" s="20">
        <f>B4*0.1</f>
        <v>1.4000000000000001</v>
      </c>
      <c r="E4" s="20">
        <f>B4*0.2</f>
        <v>2.8000000000000003</v>
      </c>
    </row>
    <row r="5" spans="1:5" x14ac:dyDescent="0.35">
      <c r="A5" s="4" t="s">
        <v>36</v>
      </c>
      <c r="B5" s="6">
        <v>18</v>
      </c>
      <c r="C5" s="20">
        <f>B5*0.05</f>
        <v>0.9</v>
      </c>
      <c r="D5" s="20">
        <v>2.2000000000000002</v>
      </c>
      <c r="E5" s="20">
        <f>B5*0.2</f>
        <v>3.6</v>
      </c>
    </row>
    <row r="6" spans="1:5" x14ac:dyDescent="0.35">
      <c r="A6" s="4" t="s">
        <v>38</v>
      </c>
      <c r="B6" s="6">
        <v>36</v>
      </c>
      <c r="C6" s="20">
        <f>B6*0.05</f>
        <v>1.8</v>
      </c>
      <c r="D6" s="20">
        <f>B6*0.1</f>
        <v>3.6</v>
      </c>
      <c r="E6" s="20">
        <f>B6*0.2</f>
        <v>7.2</v>
      </c>
    </row>
    <row r="9" spans="1:5" x14ac:dyDescent="0.35">
      <c r="A9" s="5"/>
    </row>
    <row r="10" spans="1:5" x14ac:dyDescent="0.35">
      <c r="A10" s="5"/>
    </row>
    <row r="11" spans="1:5" x14ac:dyDescent="0.35">
      <c r="A11" s="5"/>
    </row>
    <row r="12" spans="1:5" x14ac:dyDescent="0.35">
      <c r="A12" s="5"/>
    </row>
    <row r="13" spans="1:5" x14ac:dyDescent="0.35">
      <c r="A13" s="5"/>
    </row>
  </sheetData>
  <sortState xmlns:xlrd2="http://schemas.microsoft.com/office/spreadsheetml/2017/richdata2" ref="A2:E6">
    <sortCondition ref="A2:A6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D7EA4-C672-450B-A26B-15C3FBC438F7}">
  <dimension ref="A2:I14"/>
  <sheetViews>
    <sheetView workbookViewId="0">
      <selection activeCell="D14" sqref="D14"/>
    </sheetView>
  </sheetViews>
  <sheetFormatPr defaultRowHeight="14.5" x14ac:dyDescent="0.35"/>
  <cols>
    <col min="1" max="1" width="22.26953125" bestFit="1" customWidth="1"/>
    <col min="2" max="2" width="23" bestFit="1" customWidth="1"/>
    <col min="3" max="3" width="22" bestFit="1" customWidth="1"/>
    <col min="4" max="4" width="25.6328125" bestFit="1" customWidth="1"/>
    <col min="5" max="5" width="23.54296875" bestFit="1" customWidth="1"/>
    <col min="6" max="6" width="25.7265625" bestFit="1" customWidth="1"/>
    <col min="7" max="7" width="18.54296875" customWidth="1"/>
    <col min="8" max="8" width="15.08984375" customWidth="1"/>
    <col min="9" max="9" width="16.7265625" bestFit="1" customWidth="1"/>
  </cols>
  <sheetData>
    <row r="2" spans="1:9" x14ac:dyDescent="0.35">
      <c r="B2" s="2" t="s">
        <v>19</v>
      </c>
      <c r="C2" s="2" t="s">
        <v>16</v>
      </c>
      <c r="D2" s="2" t="s">
        <v>20</v>
      </c>
      <c r="E2" s="2" t="s">
        <v>17</v>
      </c>
      <c r="F2" s="2" t="s">
        <v>21</v>
      </c>
      <c r="G2" s="2" t="s">
        <v>18</v>
      </c>
      <c r="H2" s="2" t="s">
        <v>25</v>
      </c>
      <c r="I2" s="2" t="s">
        <v>26</v>
      </c>
    </row>
    <row r="3" spans="1:9" x14ac:dyDescent="0.35">
      <c r="A3" s="4" t="s">
        <v>37</v>
      </c>
      <c r="B3" s="10"/>
      <c r="C3" s="10"/>
      <c r="D3" s="10"/>
      <c r="E3" s="10"/>
      <c r="F3" s="10"/>
      <c r="G3" s="12">
        <f>B3+D3+F3</f>
        <v>0</v>
      </c>
      <c r="H3" s="13">
        <f>G3/'Current ICL Eligible Number'!B2</f>
        <v>0</v>
      </c>
      <c r="I3" s="2">
        <v>45</v>
      </c>
    </row>
    <row r="4" spans="1:9" x14ac:dyDescent="0.35">
      <c r="A4" s="4" t="s">
        <v>9</v>
      </c>
      <c r="B4" s="10"/>
      <c r="C4" s="10"/>
      <c r="D4" s="10"/>
      <c r="E4" s="10"/>
      <c r="F4" s="10"/>
      <c r="G4" s="12">
        <f t="shared" ref="G4:G7" si="0">B4+D4+F4</f>
        <v>0</v>
      </c>
      <c r="H4" s="13">
        <f>G4/'Current ICL Eligible Number'!B3</f>
        <v>0</v>
      </c>
      <c r="I4" s="2">
        <v>45</v>
      </c>
    </row>
    <row r="5" spans="1:9" x14ac:dyDescent="0.35">
      <c r="A5" s="4" t="s">
        <v>39</v>
      </c>
      <c r="B5" s="10"/>
      <c r="C5" s="10"/>
      <c r="D5" s="10"/>
      <c r="E5" s="10"/>
      <c r="F5" s="10"/>
      <c r="G5" s="12">
        <f t="shared" si="0"/>
        <v>0</v>
      </c>
      <c r="H5" s="13">
        <f>G5/'Current ICL Eligible Number'!B4</f>
        <v>0</v>
      </c>
      <c r="I5" s="2">
        <v>45</v>
      </c>
    </row>
    <row r="6" spans="1:9" x14ac:dyDescent="0.35">
      <c r="A6" s="4" t="s">
        <v>36</v>
      </c>
      <c r="B6" s="10"/>
      <c r="C6" s="10"/>
      <c r="D6" s="10"/>
      <c r="E6" s="10"/>
      <c r="F6" s="10"/>
      <c r="G6" s="12">
        <f t="shared" si="0"/>
        <v>0</v>
      </c>
      <c r="H6" s="13">
        <f>G6/'Current ICL Eligible Number'!B5</f>
        <v>0</v>
      </c>
      <c r="I6" s="13">
        <f>H6/'Current ICL Eligible Number'!C5</f>
        <v>0</v>
      </c>
    </row>
    <row r="7" spans="1:9" x14ac:dyDescent="0.35">
      <c r="A7" s="4" t="s">
        <v>38</v>
      </c>
      <c r="B7" s="10"/>
      <c r="C7" s="10"/>
      <c r="D7" s="10"/>
      <c r="E7" s="10"/>
      <c r="F7" s="10"/>
      <c r="G7" s="12">
        <f t="shared" si="0"/>
        <v>0</v>
      </c>
      <c r="H7" s="13">
        <f>G7/'Current ICL Eligible Number'!B6</f>
        <v>0</v>
      </c>
      <c r="I7" s="13">
        <f>H7/'Current ICL Eligible Number'!C6</f>
        <v>0</v>
      </c>
    </row>
    <row r="8" spans="1:9" x14ac:dyDescent="0.35">
      <c r="A8" s="18"/>
      <c r="B8" s="10"/>
      <c r="C8" s="10"/>
      <c r="D8" s="10"/>
      <c r="E8" s="19"/>
      <c r="F8" s="19"/>
    </row>
    <row r="9" spans="1:9" x14ac:dyDescent="0.35">
      <c r="B9" s="16" t="s">
        <v>22</v>
      </c>
      <c r="C9" s="16" t="s">
        <v>23</v>
      </c>
      <c r="D9" s="17" t="s">
        <v>24</v>
      </c>
    </row>
    <row r="10" spans="1:9" x14ac:dyDescent="0.35">
      <c r="A10" s="4" t="s">
        <v>37</v>
      </c>
      <c r="B10" s="14">
        <f>C4+E4</f>
        <v>0</v>
      </c>
      <c r="C10" s="14">
        <v>0</v>
      </c>
      <c r="D10" s="15">
        <f>B10+C10</f>
        <v>0</v>
      </c>
    </row>
    <row r="11" spans="1:9" x14ac:dyDescent="0.35">
      <c r="A11" s="4" t="s">
        <v>9</v>
      </c>
      <c r="B11" s="14">
        <f>C5+E5</f>
        <v>0</v>
      </c>
      <c r="C11" s="14">
        <v>0</v>
      </c>
      <c r="D11" s="15">
        <f>B11+C11</f>
        <v>0</v>
      </c>
    </row>
    <row r="12" spans="1:9" x14ac:dyDescent="0.35">
      <c r="A12" s="4" t="s">
        <v>39</v>
      </c>
      <c r="B12" s="14">
        <f>C6+E6</f>
        <v>0</v>
      </c>
      <c r="C12" s="14">
        <v>0</v>
      </c>
      <c r="D12" s="15">
        <f>B12+C12</f>
        <v>0</v>
      </c>
    </row>
    <row r="13" spans="1:9" x14ac:dyDescent="0.35">
      <c r="A13" s="4" t="s">
        <v>36</v>
      </c>
      <c r="B13" s="14">
        <f>C7+E7</f>
        <v>0</v>
      </c>
      <c r="C13" s="14">
        <v>0</v>
      </c>
      <c r="D13" s="15">
        <f>B13+C13</f>
        <v>0</v>
      </c>
    </row>
    <row r="14" spans="1:9" x14ac:dyDescent="0.35">
      <c r="A14" s="4" t="s">
        <v>38</v>
      </c>
      <c r="B14" s="14">
        <f>C4+E4</f>
        <v>0</v>
      </c>
      <c r="C14" s="14">
        <v>0</v>
      </c>
      <c r="D14" s="15">
        <f>B14+C14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1bc666-d55d-4268-986e-dfbc5a5d93b6">
      <Terms xmlns="http://schemas.microsoft.com/office/infopath/2007/PartnerControls"/>
    </lcf76f155ced4ddcb4097134ff3c332f>
    <TaxCatchAll xmlns="0f4581ad-c3dd-4ef7-beff-5f6cac8f1c2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93C5158ACE89489F1F91E8172746EA" ma:contentTypeVersion="18" ma:contentTypeDescription="Create a new document." ma:contentTypeScope="" ma:versionID="5add787c5e3d74fe8c0f0fa8a732c147">
  <xsd:schema xmlns:xsd="http://www.w3.org/2001/XMLSchema" xmlns:xs="http://www.w3.org/2001/XMLSchema" xmlns:p="http://schemas.microsoft.com/office/2006/metadata/properties" xmlns:ns2="341bc666-d55d-4268-986e-dfbc5a5d93b6" xmlns:ns3="0f4581ad-c3dd-4ef7-beff-5f6cac8f1c21" targetNamespace="http://schemas.microsoft.com/office/2006/metadata/properties" ma:root="true" ma:fieldsID="8b45b7dded6709d033103a0ca77ce16f" ns2:_="" ns3:_="">
    <xsd:import namespace="341bc666-d55d-4268-986e-dfbc5a5d93b6"/>
    <xsd:import namespace="0f4581ad-c3dd-4ef7-beff-5f6cac8f1c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1bc666-d55d-4268-986e-dfbc5a5d93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9590b89-a786-48e6-9418-682e7efc09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581ad-c3dd-4ef7-beff-5f6cac8f1c2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1fea8ba-b6f4-45b1-b30a-8963db4aadc2}" ma:internalName="TaxCatchAll" ma:showField="CatchAllData" ma:web="0f4581ad-c3dd-4ef7-beff-5f6cac8f1c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9C1E06-8DC2-41D1-94BE-8913148EE63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1F2796B-7086-4386-B858-B79914B79A92}">
  <ds:schemaRefs>
    <ds:schemaRef ds:uri="http://schemas.microsoft.com/office/2006/metadata/properties"/>
    <ds:schemaRef ds:uri="http://schemas.microsoft.com/office/infopath/2007/PartnerControls"/>
    <ds:schemaRef ds:uri="341bc666-d55d-4268-986e-dfbc5a5d93b6"/>
    <ds:schemaRef ds:uri="0f4581ad-c3dd-4ef7-beff-5f6cac8f1c21"/>
  </ds:schemaRefs>
</ds:datastoreItem>
</file>

<file path=customXml/itemProps3.xml><?xml version="1.0" encoding="utf-8"?>
<ds:datastoreItem xmlns:ds="http://schemas.openxmlformats.org/officeDocument/2006/customXml" ds:itemID="{BA8BC40D-DC4F-4FE8-95B5-2DAB85EA3E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1bc666-d55d-4268-986e-dfbc5a5d93b6"/>
    <ds:schemaRef ds:uri="0f4581ad-c3dd-4ef7-beff-5f6cac8f1c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Hume Round 1 70.3</vt:lpstr>
      <vt:lpstr>Hume Round 1 Standard</vt:lpstr>
      <vt:lpstr>Standard Aquabike</vt:lpstr>
      <vt:lpstr>Hume Round 1 Sprint</vt:lpstr>
      <vt:lpstr>Hume Round 1 Super Sprint</vt:lpstr>
      <vt:lpstr>Current ICL Eligible Number</vt:lpstr>
      <vt:lpstr>Adams manual 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Croker</dc:creator>
  <cp:lastModifiedBy>Sarah Gordon</cp:lastModifiedBy>
  <dcterms:created xsi:type="dcterms:W3CDTF">2025-08-21T05:32:24Z</dcterms:created>
  <dcterms:modified xsi:type="dcterms:W3CDTF">2025-11-20T03:02:52Z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0x0101007193C5158ACE89489F1F91E8172746EA</vt:lpwstr>
  </property>
  <property fmtid="{D5CDD505-2E9C-101B-9397-08002B2CF9AE}" pid="3" name="MediaServiceImageTags">
    <vt:lpwstr/>
  </property>
</Properties>
</file>