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ligence-my.sharepoint.com/personal/sarah_gordon_billigence_com/Documents/Documents/1. Clients/Triathlon NSW, Sept 2025/Triathlon NSW Calculation Engine/data/input/"/>
    </mc:Choice>
  </mc:AlternateContent>
  <xr:revisionPtr revIDLastSave="67" documentId="8_{D5142403-41D9-4733-A4C6-7716219FB1D0}" xr6:coauthVersionLast="47" xr6:coauthVersionMax="47" xr10:uidLastSave="{BE04D2F2-8EED-40E5-8114-95F3B8FCB170}"/>
  <bookViews>
    <workbookView xWindow="-110" yWindow="-110" windowWidth="19420" windowHeight="10300" xr2:uid="{DFD58459-1D91-46FB-9458-B4E90A936F58}"/>
  </bookViews>
  <sheets>
    <sheet name="Premier League R2 Sprint" sheetId="1" r:id="rId1"/>
    <sheet name="Premier League R2 Super Sprint" sheetId="4" r:id="rId2"/>
    <sheet name="Premier League R2 Aquabike" sheetId="8" r:id="rId3"/>
    <sheet name="Current ICL Eligible Number" sheetId="3" r:id="rId4"/>
    <sheet name="Adams manual Calculations" sheetId="6" r:id="rId5"/>
  </sheets>
  <definedNames>
    <definedName name="_xlnm._FilterDatabase" localSheetId="0" hidden="1">'Premier League R2 Sprint'!$A$1:$G$19</definedName>
    <definedName name="_xlnm._FilterDatabase" localSheetId="1" hidden="1">'Premier League R2 Super Sprint'!$A$1:$G$5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D20" i="6" l="1"/>
  <c r="D21" i="6"/>
  <c r="D22" i="6"/>
  <c r="D23" i="6"/>
  <c r="D24" i="6"/>
  <c r="D25" i="6"/>
  <c r="B22" i="6"/>
  <c r="B23" i="6"/>
  <c r="B24" i="6"/>
  <c r="B25" i="6"/>
  <c r="G9" i="6"/>
  <c r="H9" i="6" s="1"/>
  <c r="G10" i="6"/>
  <c r="H10" i="6"/>
  <c r="G11" i="6"/>
  <c r="H11" i="6" s="1"/>
  <c r="G12" i="6"/>
  <c r="H12" i="6" s="1"/>
  <c r="B16" i="6"/>
  <c r="B17" i="6"/>
  <c r="B19" i="6"/>
  <c r="B18" i="6"/>
  <c r="D17" i="6" l="1"/>
  <c r="D19" i="6"/>
  <c r="D16" i="6"/>
  <c r="D18" i="6"/>
  <c r="B20" i="6"/>
  <c r="B21" i="6"/>
  <c r="G8" i="6"/>
  <c r="H8" i="6" s="1"/>
  <c r="G7" i="6"/>
  <c r="H7" i="6" s="1"/>
  <c r="G4" i="6" l="1"/>
  <c r="H4" i="6" s="1"/>
  <c r="G5" i="6"/>
  <c r="H5" i="6" s="1"/>
  <c r="G6" i="6"/>
  <c r="H6" i="6" s="1"/>
  <c r="G3" i="6"/>
  <c r="H3" i="6" s="1"/>
</calcChain>
</file>

<file path=xl/sharedStrings.xml><?xml version="1.0" encoding="utf-8"?>
<sst xmlns="http://schemas.openxmlformats.org/spreadsheetml/2006/main" count="221" uniqueCount="129">
  <si>
    <t>First Name</t>
  </si>
  <si>
    <t xml:space="preserve">Surname </t>
  </si>
  <si>
    <t>Performance points Participation points or both</t>
  </si>
  <si>
    <t>ICL Eligible Number</t>
  </si>
  <si>
    <t>TA Number</t>
  </si>
  <si>
    <t xml:space="preserve">Category </t>
  </si>
  <si>
    <t>Matthew</t>
  </si>
  <si>
    <t xml:space="preserve">Category Finish Place </t>
  </si>
  <si>
    <t xml:space="preserve">Club Name </t>
  </si>
  <si>
    <t xml:space="preserve">Per P &amp; Part P </t>
  </si>
  <si>
    <t>15PTS (5%)</t>
  </si>
  <si>
    <t>30 PTS (10%)</t>
  </si>
  <si>
    <t>45 PTS (20%)</t>
  </si>
  <si>
    <t>Sprint Performance Total</t>
  </si>
  <si>
    <t>Total that raced</t>
  </si>
  <si>
    <t>Number that finished Sprint</t>
  </si>
  <si>
    <t>Number that finished aquabike</t>
  </si>
  <si>
    <t>Total Performance Points</t>
  </si>
  <si>
    <t>Total Participation Points</t>
  </si>
  <si>
    <t>Total Round 1</t>
  </si>
  <si>
    <t>% of elgible</t>
  </si>
  <si>
    <t>Participation Points</t>
  </si>
  <si>
    <t>Jason</t>
  </si>
  <si>
    <t>Jessica</t>
  </si>
  <si>
    <t xml:space="preserve">Part P </t>
  </si>
  <si>
    <t xml:space="preserve">Number that finished Super Sprint </t>
  </si>
  <si>
    <t>Super Sprint Performance Total</t>
  </si>
  <si>
    <t>3</t>
  </si>
  <si>
    <t>4</t>
  </si>
  <si>
    <t>1</t>
  </si>
  <si>
    <t>Male 40-44</t>
  </si>
  <si>
    <t>Male Open</t>
  </si>
  <si>
    <t>Male 55-59</t>
  </si>
  <si>
    <t>2</t>
  </si>
  <si>
    <t>Male 50-54</t>
  </si>
  <si>
    <t>Female 35-39</t>
  </si>
  <si>
    <t>Female 65-69</t>
  </si>
  <si>
    <t>JONES</t>
  </si>
  <si>
    <t>Peter</t>
  </si>
  <si>
    <t>FINNEGAN</t>
  </si>
  <si>
    <t>TA142587</t>
  </si>
  <si>
    <t>JAMES</t>
  </si>
  <si>
    <t>Female 25-29</t>
  </si>
  <si>
    <t>Male 45-49</t>
  </si>
  <si>
    <t>8</t>
  </si>
  <si>
    <t>JOHNSTON</t>
  </si>
  <si>
    <t>TA112209</t>
  </si>
  <si>
    <t>Male 35-39</t>
  </si>
  <si>
    <t>Male 14-15</t>
  </si>
  <si>
    <t>FOSSE</t>
  </si>
  <si>
    <t>TA126910</t>
  </si>
  <si>
    <t>Female 20-24</t>
  </si>
  <si>
    <t>Male 30-34</t>
  </si>
  <si>
    <t>7</t>
  </si>
  <si>
    <t>23</t>
  </si>
  <si>
    <t>Ben</t>
  </si>
  <si>
    <t>YI</t>
  </si>
  <si>
    <t>TA143265</t>
  </si>
  <si>
    <t>Nicholas</t>
  </si>
  <si>
    <t>KATSILIS</t>
  </si>
  <si>
    <t>TA104203</t>
  </si>
  <si>
    <t>Male 25-29</t>
  </si>
  <si>
    <t>11</t>
  </si>
  <si>
    <t>ARMSTRONG</t>
  </si>
  <si>
    <t>TA131043</t>
  </si>
  <si>
    <t>13</t>
  </si>
  <si>
    <t>Female 40-44</t>
  </si>
  <si>
    <t>Daniel X</t>
  </si>
  <si>
    <t>TA3369</t>
  </si>
  <si>
    <t>Anna</t>
  </si>
  <si>
    <t>WILCOX</t>
  </si>
  <si>
    <t>TA113972</t>
  </si>
  <si>
    <t>Rachael</t>
  </si>
  <si>
    <t>MCCARTHY</t>
  </si>
  <si>
    <t>TA114910</t>
  </si>
  <si>
    <t>Dylan</t>
  </si>
  <si>
    <t>CLOUGH</t>
  </si>
  <si>
    <t>TA96125</t>
  </si>
  <si>
    <t>Ian</t>
  </si>
  <si>
    <t>TATTERSALL</t>
  </si>
  <si>
    <t>TA47934</t>
  </si>
  <si>
    <t>Leonardo</t>
  </si>
  <si>
    <t>FURLAN</t>
  </si>
  <si>
    <t>TA132906</t>
  </si>
  <si>
    <t>TURNER</t>
  </si>
  <si>
    <t>TA132570</t>
  </si>
  <si>
    <t>Daniel</t>
  </si>
  <si>
    <t>MURRAY</t>
  </si>
  <si>
    <t>TA134419</t>
  </si>
  <si>
    <t>OPPENHEIM</t>
  </si>
  <si>
    <t>TA136204</t>
  </si>
  <si>
    <t>Shahan</t>
  </si>
  <si>
    <t>BHUIYAN</t>
  </si>
  <si>
    <t>TA135339</t>
  </si>
  <si>
    <t>Max</t>
  </si>
  <si>
    <t>FREEMAN</t>
  </si>
  <si>
    <t>TA110515</t>
  </si>
  <si>
    <t>Thomas</t>
  </si>
  <si>
    <t>WARREN</t>
  </si>
  <si>
    <t>TA4022</t>
  </si>
  <si>
    <t>29</t>
  </si>
  <si>
    <t xml:space="preserve">Warringah Triathlon Club </t>
  </si>
  <si>
    <t>STG Triathlon Club</t>
  </si>
  <si>
    <t xml:space="preserve">Pulse Performance </t>
  </si>
  <si>
    <t>Pulse Performance</t>
  </si>
  <si>
    <t>Manly Vipers Triathlon Club</t>
  </si>
  <si>
    <t xml:space="preserve">Balmoral Triathlon Club </t>
  </si>
  <si>
    <t xml:space="preserve">Concord Triathlon Club </t>
  </si>
  <si>
    <t xml:space="preserve">Macarthur Triathlon Club </t>
  </si>
  <si>
    <t>Jane</t>
  </si>
  <si>
    <t>SPALDING</t>
  </si>
  <si>
    <t>TA41545</t>
  </si>
  <si>
    <t>Josh</t>
  </si>
  <si>
    <t>KIETZMANN</t>
  </si>
  <si>
    <t>TA135590</t>
  </si>
  <si>
    <t>Male 12-13</t>
  </si>
  <si>
    <t>Erin</t>
  </si>
  <si>
    <t>TA92208</t>
  </si>
  <si>
    <t>Matt</t>
  </si>
  <si>
    <t>BUSH</t>
  </si>
  <si>
    <t>TA124964</t>
  </si>
  <si>
    <t>Concord Triathlon Club</t>
  </si>
  <si>
    <t>Warringah Triathlon Club</t>
  </si>
  <si>
    <t>Cronulla Triathlon Club</t>
  </si>
  <si>
    <t>Balmoral Triathlon Club</t>
  </si>
  <si>
    <t>Brighton Baths Athletic Club</t>
  </si>
  <si>
    <t>Macarthur Triathlon Club</t>
  </si>
  <si>
    <t>Balance Triathlon Club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</si>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</sst>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9" fontId="0" fillId="0" borderId="1" xfId="1" applyFont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2" xr:uid="{FD9D1914-7AA4-4A68-84F9-DA1D411833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4C6B-0455-4186-B989-74F6EFB9D931}">
  <sheetPr filterMode="1"/>
  <dimension ref="A1:G20"/>
  <sheetViews>
    <sheetView tabSelected="1" workbookViewId="0">
      <selection activeCell="C31" sqref="C31"/>
    </sheetView>
  </sheetViews>
  <sheetFormatPr defaultRowHeight="14.5" x14ac:dyDescent="0.35"/>
  <cols>
    <col min="1" max="1" width="18" customWidth="1"/>
    <col min="2" max="2" width="13.1796875" bestFit="1" customWidth="1"/>
    <col min="3" max="4" width="11.90625" bestFit="1" customWidth="1"/>
    <col min="5" max="5" width="23.36328125" style="7" bestFit="1" customWidth="1"/>
    <col min="6" max="6" width="55.81640625" customWidth="1"/>
    <col min="7" max="7" width="39.36328125" bestFit="1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2" t="s">
        <v>5</v>
      </c>
      <c r="E1" s="5" t="s">
        <v>7</v>
      </c>
      <c r="F1" s="2" t="s">
        <v>8</v>
      </c>
      <c r="G1" s="1" t="s">
        <v>2</v>
      </c>
    </row>
    <row r="2" spans="1:7" x14ac:dyDescent="0.35">
      <c r="A2" s="2" t="s">
        <v>23</v>
      </c>
      <c r="B2" s="2" t="s">
        <v>89</v>
      </c>
      <c r="C2" s="2" t="s">
        <v>90</v>
      </c>
      <c r="D2" s="2" t="s">
        <v>51</v>
      </c>
      <c r="E2" s="5" t="s">
        <v>29</v>
      </c>
      <c r="F2" s="2" t="s">
        <v>106</v>
      </c>
      <c r="G2" s="2" t="s">
        <v>9</v>
      </c>
    </row>
    <row r="3" spans="1:7" hidden="1" x14ac:dyDescent="0.35">
      <c r="A3" s="2" t="s">
        <v>55</v>
      </c>
      <c r="B3" s="2" t="s">
        <v>56</v>
      </c>
      <c r="C3" s="2" t="s">
        <v>57</v>
      </c>
      <c r="D3" s="2" t="s">
        <v>30</v>
      </c>
      <c r="E3" s="5" t="s">
        <v>54</v>
      </c>
      <c r="F3" s="2" t="s">
        <v>107</v>
      </c>
      <c r="G3" s="2" t="s">
        <v>9</v>
      </c>
    </row>
    <row r="4" spans="1:7" hidden="1" x14ac:dyDescent="0.35">
      <c r="A4" s="2" t="s">
        <v>78</v>
      </c>
      <c r="B4" s="2" t="s">
        <v>79</v>
      </c>
      <c r="C4" s="2" t="s">
        <v>80</v>
      </c>
      <c r="D4" s="2" t="s">
        <v>34</v>
      </c>
      <c r="E4" s="5" t="s">
        <v>65</v>
      </c>
      <c r="F4" s="2" t="s">
        <v>107</v>
      </c>
      <c r="G4" s="2" t="s">
        <v>9</v>
      </c>
    </row>
    <row r="5" spans="1:7" hidden="1" x14ac:dyDescent="0.35">
      <c r="A5" s="2" t="s">
        <v>6</v>
      </c>
      <c r="B5" s="2" t="s">
        <v>49</v>
      </c>
      <c r="C5" s="2" t="s">
        <v>50</v>
      </c>
      <c r="D5" s="2" t="s">
        <v>48</v>
      </c>
      <c r="E5" s="5" t="s">
        <v>29</v>
      </c>
      <c r="F5" s="2" t="s">
        <v>108</v>
      </c>
      <c r="G5" s="2" t="s">
        <v>9</v>
      </c>
    </row>
    <row r="6" spans="1:7" hidden="1" x14ac:dyDescent="0.35">
      <c r="A6" s="2" t="s">
        <v>97</v>
      </c>
      <c r="B6" s="2" t="s">
        <v>98</v>
      </c>
      <c r="C6" s="2" t="s">
        <v>99</v>
      </c>
      <c r="D6" s="2" t="s">
        <v>47</v>
      </c>
      <c r="E6" s="5" t="s">
        <v>100</v>
      </c>
      <c r="F6" s="2" t="s">
        <v>108</v>
      </c>
      <c r="G6" s="2" t="s">
        <v>9</v>
      </c>
    </row>
    <row r="7" spans="1:7" hidden="1" x14ac:dyDescent="0.35">
      <c r="A7" s="2" t="s">
        <v>86</v>
      </c>
      <c r="B7" s="2" t="s">
        <v>87</v>
      </c>
      <c r="C7" s="2" t="s">
        <v>88</v>
      </c>
      <c r="D7" s="2" t="s">
        <v>47</v>
      </c>
      <c r="E7" s="5" t="s">
        <v>28</v>
      </c>
      <c r="F7" s="2" t="s">
        <v>105</v>
      </c>
      <c r="G7" s="2" t="s">
        <v>9</v>
      </c>
    </row>
    <row r="8" spans="1:7" hidden="1" x14ac:dyDescent="0.35">
      <c r="A8" s="2" t="s">
        <v>22</v>
      </c>
      <c r="B8" s="2" t="s">
        <v>84</v>
      </c>
      <c r="C8" s="2" t="s">
        <v>85</v>
      </c>
      <c r="D8" s="2" t="s">
        <v>30</v>
      </c>
      <c r="E8" s="5" t="s">
        <v>62</v>
      </c>
      <c r="F8" s="2" t="s">
        <v>104</v>
      </c>
      <c r="G8" s="2" t="s">
        <v>9</v>
      </c>
    </row>
    <row r="9" spans="1:7" hidden="1" x14ac:dyDescent="0.35">
      <c r="A9" s="2" t="s">
        <v>58</v>
      </c>
      <c r="B9" s="2" t="s">
        <v>59</v>
      </c>
      <c r="C9" s="2" t="s">
        <v>60</v>
      </c>
      <c r="D9" s="2" t="s">
        <v>61</v>
      </c>
      <c r="E9" s="5" t="s">
        <v>33</v>
      </c>
      <c r="F9" s="2" t="s">
        <v>103</v>
      </c>
      <c r="G9" s="2" t="s">
        <v>9</v>
      </c>
    </row>
    <row r="10" spans="1:7" hidden="1" x14ac:dyDescent="0.35">
      <c r="A10" s="2" t="s">
        <v>81</v>
      </c>
      <c r="B10" s="2" t="s">
        <v>82</v>
      </c>
      <c r="C10" s="2" t="s">
        <v>83</v>
      </c>
      <c r="D10" s="2" t="s">
        <v>32</v>
      </c>
      <c r="E10" s="5" t="s">
        <v>53</v>
      </c>
      <c r="F10" s="2" t="s">
        <v>103</v>
      </c>
      <c r="G10" s="2" t="s">
        <v>9</v>
      </c>
    </row>
    <row r="11" spans="1:7" hidden="1" x14ac:dyDescent="0.35">
      <c r="A11" s="2" t="s">
        <v>6</v>
      </c>
      <c r="B11" s="2" t="s">
        <v>45</v>
      </c>
      <c r="C11" s="2" t="s">
        <v>46</v>
      </c>
      <c r="D11" s="2" t="s">
        <v>47</v>
      </c>
      <c r="E11" s="5" t="s">
        <v>44</v>
      </c>
      <c r="F11" s="2" t="s">
        <v>102</v>
      </c>
      <c r="G11" s="2" t="s">
        <v>9</v>
      </c>
    </row>
    <row r="12" spans="1:7" hidden="1" x14ac:dyDescent="0.35">
      <c r="A12" s="2" t="s">
        <v>58</v>
      </c>
      <c r="B12" s="2" t="s">
        <v>63</v>
      </c>
      <c r="C12" s="2" t="s">
        <v>64</v>
      </c>
      <c r="D12" s="2" t="s">
        <v>52</v>
      </c>
      <c r="E12" s="5" t="s">
        <v>65</v>
      </c>
      <c r="F12" s="2" t="s">
        <v>102</v>
      </c>
      <c r="G12" s="2" t="s">
        <v>9</v>
      </c>
    </row>
    <row r="13" spans="1:7" hidden="1" x14ac:dyDescent="0.35">
      <c r="A13" s="2" t="s">
        <v>67</v>
      </c>
      <c r="B13" s="2" t="s">
        <v>41</v>
      </c>
      <c r="C13" s="2" t="s">
        <v>68</v>
      </c>
      <c r="D13" s="2" t="s">
        <v>43</v>
      </c>
      <c r="E13" s="5" t="s">
        <v>29</v>
      </c>
      <c r="F13" s="2" t="s">
        <v>102</v>
      </c>
      <c r="G13" s="2" t="s">
        <v>9</v>
      </c>
    </row>
    <row r="14" spans="1:7" hidden="1" x14ac:dyDescent="0.35">
      <c r="A14" s="2" t="s">
        <v>69</v>
      </c>
      <c r="B14" s="2" t="s">
        <v>70</v>
      </c>
      <c r="C14" s="2" t="s">
        <v>71</v>
      </c>
      <c r="D14" s="2" t="s">
        <v>66</v>
      </c>
      <c r="E14" s="5" t="s">
        <v>29</v>
      </c>
      <c r="F14" s="2" t="s">
        <v>102</v>
      </c>
      <c r="G14" s="2" t="s">
        <v>9</v>
      </c>
    </row>
    <row r="15" spans="1:7" hidden="1" x14ac:dyDescent="0.35">
      <c r="A15" s="2" t="s">
        <v>72</v>
      </c>
      <c r="B15" s="2" t="s">
        <v>73</v>
      </c>
      <c r="C15" s="2" t="s">
        <v>74</v>
      </c>
      <c r="D15" s="2" t="s">
        <v>42</v>
      </c>
      <c r="E15" s="5" t="s">
        <v>33</v>
      </c>
      <c r="F15" s="2" t="s">
        <v>102</v>
      </c>
      <c r="G15" s="2" t="s">
        <v>9</v>
      </c>
    </row>
    <row r="16" spans="1:7" hidden="1" x14ac:dyDescent="0.35">
      <c r="A16" s="2" t="s">
        <v>75</v>
      </c>
      <c r="B16" s="2" t="s">
        <v>76</v>
      </c>
      <c r="C16" s="2" t="s">
        <v>77</v>
      </c>
      <c r="D16" s="2" t="s">
        <v>31</v>
      </c>
      <c r="E16" s="5" t="s">
        <v>33</v>
      </c>
      <c r="F16" s="2" t="s">
        <v>102</v>
      </c>
      <c r="G16" s="2" t="s">
        <v>9</v>
      </c>
    </row>
    <row r="17" spans="1:7" hidden="1" x14ac:dyDescent="0.35">
      <c r="A17" s="2" t="s">
        <v>91</v>
      </c>
      <c r="B17" s="2" t="s">
        <v>92</v>
      </c>
      <c r="C17" s="2" t="s">
        <v>93</v>
      </c>
      <c r="D17" s="2" t="s">
        <v>61</v>
      </c>
      <c r="E17" s="5" t="s">
        <v>27</v>
      </c>
      <c r="F17" s="2" t="s">
        <v>102</v>
      </c>
      <c r="G17" s="2" t="s">
        <v>9</v>
      </c>
    </row>
    <row r="18" spans="1:7" hidden="1" x14ac:dyDescent="0.35">
      <c r="A18" s="2" t="s">
        <v>94</v>
      </c>
      <c r="B18" s="2" t="s">
        <v>95</v>
      </c>
      <c r="C18" s="2" t="s">
        <v>96</v>
      </c>
      <c r="D18" s="2" t="s">
        <v>47</v>
      </c>
      <c r="E18" s="5" t="s">
        <v>29</v>
      </c>
      <c r="F18" s="2" t="s">
        <v>102</v>
      </c>
      <c r="G18" s="2" t="s">
        <v>9</v>
      </c>
    </row>
    <row r="19" spans="1:7" hidden="1" x14ac:dyDescent="0.35">
      <c r="A19" s="2" t="s">
        <v>38</v>
      </c>
      <c r="B19" s="2" t="s">
        <v>39</v>
      </c>
      <c r="C19" s="2" t="s">
        <v>40</v>
      </c>
      <c r="D19" s="2" t="s">
        <v>34</v>
      </c>
      <c r="E19" s="5" t="s">
        <v>28</v>
      </c>
      <c r="F19" s="2" t="s">
        <v>101</v>
      </c>
      <c r="G19" s="2" t="s">
        <v>9</v>
      </c>
    </row>
    <row r="20" spans="1:7" x14ac:dyDescent="0.35">
      <c r="F20" s="7"/>
    </row>
  </sheetData>
  <autoFilter ref="A1:G19" xr:uid="{AC284C6B-0455-4186-B989-74F6EFB9D931}">
    <filterColumn colId="0">
      <filters>
        <filter val="Jessi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68F9-0AB3-4D7B-807B-82718534181A}">
  <dimension ref="A1:G5"/>
  <sheetViews>
    <sheetView workbookViewId="0">
      <selection activeCell="E16" sqref="E16"/>
    </sheetView>
  </sheetViews>
  <sheetFormatPr defaultRowHeight="14.5" x14ac:dyDescent="0.35"/>
  <cols>
    <col min="1" max="1" width="11.90625" customWidth="1"/>
    <col min="2" max="2" width="12.36328125" bestFit="1" customWidth="1"/>
    <col min="3" max="3" width="18.1796875" customWidth="1"/>
    <col min="4" max="4" width="11.81640625" bestFit="1" customWidth="1"/>
    <col min="5" max="5" width="18.81640625" style="7" bestFit="1" customWidth="1"/>
    <col min="6" max="6" width="43" style="7" bestFit="1" customWidth="1"/>
    <col min="7" max="7" width="39.36328125" bestFit="1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2" t="s">
        <v>5</v>
      </c>
      <c r="E1" s="5" t="s">
        <v>7</v>
      </c>
      <c r="F1" s="5" t="s">
        <v>8</v>
      </c>
      <c r="G1" s="1" t="s">
        <v>2</v>
      </c>
    </row>
    <row r="2" spans="1:7" x14ac:dyDescent="0.35">
      <c r="A2" s="1" t="s">
        <v>109</v>
      </c>
      <c r="B2" s="1" t="s">
        <v>110</v>
      </c>
      <c r="C2" s="1" t="s">
        <v>111</v>
      </c>
      <c r="D2" s="10" t="s">
        <v>36</v>
      </c>
      <c r="E2" s="10" t="s">
        <v>29</v>
      </c>
      <c r="F2" s="1" t="s">
        <v>121</v>
      </c>
      <c r="G2" s="3" t="s">
        <v>24</v>
      </c>
    </row>
    <row r="3" spans="1:7" x14ac:dyDescent="0.35">
      <c r="A3" s="1" t="s">
        <v>112</v>
      </c>
      <c r="B3" s="1" t="s">
        <v>113</v>
      </c>
      <c r="C3" s="1" t="s">
        <v>114</v>
      </c>
      <c r="D3" s="10" t="s">
        <v>115</v>
      </c>
      <c r="E3" s="10" t="s">
        <v>33</v>
      </c>
      <c r="F3" s="1" t="s">
        <v>122</v>
      </c>
      <c r="G3" s="3" t="s">
        <v>24</v>
      </c>
    </row>
    <row r="4" spans="1:7" x14ac:dyDescent="0.35">
      <c r="A4" s="1" t="s">
        <v>116</v>
      </c>
      <c r="B4" s="1" t="s">
        <v>37</v>
      </c>
      <c r="C4" s="1" t="s">
        <v>117</v>
      </c>
      <c r="D4" s="10" t="s">
        <v>35</v>
      </c>
      <c r="E4" s="10" t="s">
        <v>29</v>
      </c>
      <c r="F4" s="1" t="s">
        <v>105</v>
      </c>
      <c r="G4" s="3" t="s">
        <v>24</v>
      </c>
    </row>
    <row r="5" spans="1:7" x14ac:dyDescent="0.35">
      <c r="A5" s="1" t="s">
        <v>118</v>
      </c>
      <c r="B5" s="1" t="s">
        <v>119</v>
      </c>
      <c r="C5" s="1" t="s">
        <v>120</v>
      </c>
      <c r="D5" s="10" t="s">
        <v>47</v>
      </c>
      <c r="E5" s="10" t="s">
        <v>29</v>
      </c>
      <c r="F5" s="1" t="s">
        <v>105</v>
      </c>
      <c r="G5" s="3" t="s">
        <v>24</v>
      </c>
    </row>
  </sheetData>
  <autoFilter ref="A1:G5" xr:uid="{6BFA68F9-0AB3-4D7B-807B-8271853418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6108-DADA-445C-A369-C1255511F1FD}">
  <dimension ref="A1:G1"/>
  <sheetViews>
    <sheetView workbookViewId="0">
      <selection activeCell="D10" sqref="D10"/>
    </sheetView>
  </sheetViews>
  <sheetFormatPr defaultRowHeight="14.5" x14ac:dyDescent="0.35"/>
  <cols>
    <col min="1" max="1" width="9.6328125" bestFit="1" customWidth="1"/>
    <col min="2" max="2" width="9.7265625" bestFit="1" customWidth="1"/>
    <col min="3" max="3" width="9.6328125" bestFit="1" customWidth="1"/>
    <col min="4" max="4" width="10.08984375" bestFit="1" customWidth="1"/>
    <col min="5" max="5" width="18.81640625" bestFit="1" customWidth="1"/>
    <col min="6" max="6" width="18.08984375" bestFit="1" customWidth="1"/>
    <col min="7" max="7" width="39.36328125" bestFit="1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2" t="s">
        <v>5</v>
      </c>
      <c r="E1" s="5" t="s">
        <v>7</v>
      </c>
      <c r="F1" s="5" t="s">
        <v>8</v>
      </c>
      <c r="G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F478-A21E-4210-8490-429845EAC8FD}">
  <dimension ref="A1:E12"/>
  <sheetViews>
    <sheetView workbookViewId="0">
      <selection activeCell="B8" sqref="B8"/>
    </sheetView>
  </sheetViews>
  <sheetFormatPr defaultRowHeight="14.5" x14ac:dyDescent="0.35"/>
  <cols>
    <col min="1" max="1" width="24.6328125" bestFit="1" customWidth="1"/>
    <col min="2" max="2" width="19.36328125" customWidth="1"/>
    <col min="3" max="3" width="10" bestFit="1" customWidth="1"/>
    <col min="4" max="4" width="11.453125" bestFit="1" customWidth="1"/>
    <col min="5" max="5" width="15.54296875" customWidth="1"/>
  </cols>
  <sheetData>
    <row r="1" spans="1:5" x14ac:dyDescent="0.35">
      <c r="A1" s="15" t="s">
        <v>128</v>
      </c>
      <c r="B1" s="16" t="s">
        <v>3</v>
      </c>
      <c r="C1" s="16" t="s">
        <v>10</v>
      </c>
      <c r="D1" s="16" t="s">
        <v>11</v>
      </c>
      <c r="E1" s="16" t="s">
        <v>12</v>
      </c>
    </row>
    <row r="2" spans="1:5" x14ac:dyDescent="0.35">
      <c r="A2" s="14" t="s">
        <v>127</v>
      </c>
      <c r="B2" s="5">
        <v>127</v>
      </c>
      <c r="C2" s="5">
        <v>6</v>
      </c>
      <c r="D2" s="5">
        <v>13</v>
      </c>
      <c r="E2" s="5">
        <v>25</v>
      </c>
    </row>
    <row r="3" spans="1:5" x14ac:dyDescent="0.35">
      <c r="A3" s="14" t="s">
        <v>124</v>
      </c>
      <c r="B3" s="5">
        <v>152</v>
      </c>
      <c r="C3" s="5">
        <v>8</v>
      </c>
      <c r="D3" s="5">
        <v>15</v>
      </c>
      <c r="E3" s="5">
        <v>30</v>
      </c>
    </row>
    <row r="4" spans="1:5" x14ac:dyDescent="0.35">
      <c r="A4" s="14" t="s">
        <v>125</v>
      </c>
      <c r="B4" s="5">
        <v>42</v>
      </c>
      <c r="C4" s="5">
        <v>2</v>
      </c>
      <c r="D4" s="5">
        <v>4</v>
      </c>
      <c r="E4" s="5">
        <v>8</v>
      </c>
    </row>
    <row r="5" spans="1:5" x14ac:dyDescent="0.35">
      <c r="A5" s="14" t="s">
        <v>121</v>
      </c>
      <c r="B5" s="5">
        <v>53</v>
      </c>
      <c r="C5" s="5">
        <v>3</v>
      </c>
      <c r="D5" s="5">
        <v>5</v>
      </c>
      <c r="E5" s="5">
        <v>11</v>
      </c>
    </row>
    <row r="6" spans="1:5" x14ac:dyDescent="0.35">
      <c r="A6" s="14" t="s">
        <v>123</v>
      </c>
      <c r="B6" s="5">
        <v>207</v>
      </c>
      <c r="C6" s="5">
        <v>10</v>
      </c>
      <c r="D6" s="5">
        <v>21</v>
      </c>
      <c r="E6" s="5">
        <v>41</v>
      </c>
    </row>
    <row r="7" spans="1:5" x14ac:dyDescent="0.35">
      <c r="A7" s="14" t="s">
        <v>126</v>
      </c>
      <c r="B7" s="5">
        <v>69</v>
      </c>
      <c r="C7" s="5">
        <v>3</v>
      </c>
      <c r="D7" s="5">
        <v>7</v>
      </c>
      <c r="E7" s="5">
        <v>14</v>
      </c>
    </row>
    <row r="8" spans="1:5" x14ac:dyDescent="0.35">
      <c r="A8" s="14" t="s">
        <v>105</v>
      </c>
      <c r="B8" s="5">
        <v>33</v>
      </c>
      <c r="C8" s="5">
        <f>B8*0.05</f>
        <v>1.6500000000000001</v>
      </c>
      <c r="D8" s="5">
        <f>33*0.1</f>
        <v>3.3000000000000003</v>
      </c>
      <c r="E8" s="5">
        <v>7</v>
      </c>
    </row>
    <row r="9" spans="1:5" x14ac:dyDescent="0.35">
      <c r="A9" s="14" t="s">
        <v>104</v>
      </c>
      <c r="B9" s="5">
        <v>31</v>
      </c>
      <c r="C9" s="5">
        <v>2</v>
      </c>
      <c r="D9" s="5">
        <v>3</v>
      </c>
      <c r="E9" s="5">
        <v>6</v>
      </c>
    </row>
    <row r="10" spans="1:5" x14ac:dyDescent="0.35">
      <c r="A10" s="14" t="s">
        <v>102</v>
      </c>
      <c r="B10" s="5">
        <v>49</v>
      </c>
      <c r="C10" s="5">
        <v>2</v>
      </c>
      <c r="D10" s="5">
        <v>5</v>
      </c>
      <c r="E10" s="5">
        <v>10</v>
      </c>
    </row>
    <row r="11" spans="1:5" x14ac:dyDescent="0.35">
      <c r="A11" s="14" t="s">
        <v>122</v>
      </c>
      <c r="B11" s="5">
        <v>253</v>
      </c>
      <c r="C11" s="5">
        <v>13</v>
      </c>
      <c r="D11" s="5">
        <v>25</v>
      </c>
      <c r="E11" s="5">
        <v>51</v>
      </c>
    </row>
    <row r="12" spans="1:5" x14ac:dyDescent="0.35">
      <c r="A12" s="4"/>
    </row>
  </sheetData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7EA4-C672-450B-A26B-15C3FBC438F7}">
  <dimension ref="A2:I25"/>
  <sheetViews>
    <sheetView workbookViewId="0">
      <selection activeCell="H8" sqref="H8"/>
    </sheetView>
  </sheetViews>
  <sheetFormatPr defaultRowHeight="14.5" x14ac:dyDescent="0.35"/>
  <cols>
    <col min="1" max="1" width="23.81640625" bestFit="1" customWidth="1"/>
    <col min="2" max="2" width="25.6328125" bestFit="1" customWidth="1"/>
    <col min="3" max="3" width="22" bestFit="1" customWidth="1"/>
    <col min="4" max="4" width="25.6328125" bestFit="1" customWidth="1"/>
    <col min="5" max="5" width="26.08984375" bestFit="1" customWidth="1"/>
    <col min="6" max="6" width="25.7265625" bestFit="1" customWidth="1"/>
    <col min="7" max="7" width="18.54296875" customWidth="1"/>
    <col min="8" max="8" width="15.08984375" customWidth="1"/>
    <col min="9" max="9" width="16.7265625" bestFit="1" customWidth="1"/>
  </cols>
  <sheetData>
    <row r="2" spans="1:9" x14ac:dyDescent="0.35">
      <c r="B2" s="1" t="s">
        <v>15</v>
      </c>
      <c r="C2" s="1" t="s">
        <v>13</v>
      </c>
      <c r="D2" s="1" t="s">
        <v>25</v>
      </c>
      <c r="E2" s="1" t="s">
        <v>26</v>
      </c>
      <c r="F2" s="1" t="s">
        <v>16</v>
      </c>
      <c r="G2" s="1" t="s">
        <v>14</v>
      </c>
      <c r="H2" s="1" t="s">
        <v>20</v>
      </c>
      <c r="I2" s="1" t="s">
        <v>21</v>
      </c>
    </row>
    <row r="3" spans="1:9" x14ac:dyDescent="0.35">
      <c r="A3" s="14" t="s">
        <v>127</v>
      </c>
      <c r="B3" s="6"/>
      <c r="C3" s="6"/>
      <c r="D3" s="6"/>
      <c r="E3" s="6">
        <v>0</v>
      </c>
      <c r="F3" s="6">
        <v>0</v>
      </c>
      <c r="G3" s="8">
        <f t="shared" ref="G3:G8" si="0">B3+D3+F3</f>
        <v>0</v>
      </c>
      <c r="H3" s="9" t="e">
        <f>G3/'Current ICL Eligible Number'!#REF!</f>
        <v>#REF!</v>
      </c>
      <c r="I3" s="1">
        <v>45</v>
      </c>
    </row>
    <row r="4" spans="1:9" x14ac:dyDescent="0.35">
      <c r="A4" s="14" t="s">
        <v>124</v>
      </c>
      <c r="B4" s="6"/>
      <c r="C4" s="6"/>
      <c r="D4" s="6"/>
      <c r="E4" s="6">
        <v>0</v>
      </c>
      <c r="F4" s="6">
        <v>0</v>
      </c>
      <c r="G4" s="8">
        <f t="shared" si="0"/>
        <v>0</v>
      </c>
      <c r="H4" s="9">
        <f>G4/'Current ICL Eligible Number'!B2</f>
        <v>0</v>
      </c>
      <c r="I4" s="1">
        <v>30</v>
      </c>
    </row>
    <row r="5" spans="1:9" x14ac:dyDescent="0.35">
      <c r="A5" s="14" t="s">
        <v>125</v>
      </c>
      <c r="B5" s="6"/>
      <c r="C5" s="6"/>
      <c r="D5" s="6"/>
      <c r="E5" s="6">
        <v>0</v>
      </c>
      <c r="F5" s="6">
        <v>0</v>
      </c>
      <c r="G5" s="8">
        <f t="shared" si="0"/>
        <v>0</v>
      </c>
      <c r="H5" s="9">
        <f>G5/'Current ICL Eligible Number'!B3</f>
        <v>0</v>
      </c>
      <c r="I5" s="1">
        <v>15</v>
      </c>
    </row>
    <row r="6" spans="1:9" x14ac:dyDescent="0.35">
      <c r="A6" s="14" t="s">
        <v>121</v>
      </c>
      <c r="B6" s="6"/>
      <c r="C6" s="6"/>
      <c r="D6" s="6"/>
      <c r="E6" s="6">
        <v>0</v>
      </c>
      <c r="F6" s="6">
        <v>0</v>
      </c>
      <c r="G6" s="8">
        <f t="shared" si="0"/>
        <v>0</v>
      </c>
      <c r="H6" s="9">
        <f>G6/'Current ICL Eligible Number'!B4</f>
        <v>0</v>
      </c>
      <c r="I6" s="1">
        <v>45</v>
      </c>
    </row>
    <row r="7" spans="1:9" x14ac:dyDescent="0.35">
      <c r="A7" s="14" t="s">
        <v>123</v>
      </c>
      <c r="B7" s="6"/>
      <c r="C7" s="6"/>
      <c r="D7" s="6"/>
      <c r="E7" s="6">
        <v>0</v>
      </c>
      <c r="F7" s="6">
        <v>0</v>
      </c>
      <c r="G7" s="8">
        <f t="shared" si="0"/>
        <v>0</v>
      </c>
      <c r="H7" s="9">
        <f>G7/'Current ICL Eligible Number'!B5</f>
        <v>0</v>
      </c>
      <c r="I7" s="1">
        <v>30</v>
      </c>
    </row>
    <row r="8" spans="1:9" x14ac:dyDescent="0.35">
      <c r="A8" s="14" t="s">
        <v>126</v>
      </c>
      <c r="B8" s="6"/>
      <c r="C8" s="6"/>
      <c r="D8" s="6"/>
      <c r="E8" s="6">
        <v>0</v>
      </c>
      <c r="F8" s="6">
        <v>0</v>
      </c>
      <c r="G8" s="8">
        <f t="shared" si="0"/>
        <v>0</v>
      </c>
      <c r="H8" s="9">
        <f>G8/'Current ICL Eligible Number'!B6</f>
        <v>0</v>
      </c>
      <c r="I8" s="1">
        <v>30</v>
      </c>
    </row>
    <row r="9" spans="1:9" x14ac:dyDescent="0.35">
      <c r="A9" s="14" t="s">
        <v>105</v>
      </c>
      <c r="B9" s="6"/>
      <c r="C9" s="6"/>
      <c r="D9" s="6"/>
      <c r="E9" s="6">
        <v>0</v>
      </c>
      <c r="F9" s="6">
        <v>0</v>
      </c>
      <c r="G9" s="8">
        <f t="shared" ref="G9:G12" si="1">B9+D9+F9</f>
        <v>0</v>
      </c>
      <c r="H9" s="9" t="e">
        <f>G9/'Current ICL Eligible Number'!#REF!</f>
        <v>#REF!</v>
      </c>
      <c r="I9" s="1">
        <v>28</v>
      </c>
    </row>
    <row r="10" spans="1:9" x14ac:dyDescent="0.35">
      <c r="A10" s="14" t="s">
        <v>104</v>
      </c>
      <c r="B10" s="6"/>
      <c r="C10" s="6"/>
      <c r="D10" s="6"/>
      <c r="E10" s="6">
        <v>0</v>
      </c>
      <c r="F10" s="6">
        <v>0</v>
      </c>
      <c r="G10" s="8">
        <f t="shared" si="1"/>
        <v>0</v>
      </c>
      <c r="H10" s="9">
        <f>G10/'Current ICL Eligible Number'!B8</f>
        <v>0</v>
      </c>
      <c r="I10" s="1">
        <v>26.714285714285701</v>
      </c>
    </row>
    <row r="11" spans="1:9" x14ac:dyDescent="0.35">
      <c r="A11" s="14" t="s">
        <v>102</v>
      </c>
      <c r="B11" s="6"/>
      <c r="C11" s="6"/>
      <c r="D11" s="6"/>
      <c r="E11" s="6">
        <v>0</v>
      </c>
      <c r="F11" s="6">
        <v>0</v>
      </c>
      <c r="G11" s="8">
        <f t="shared" si="1"/>
        <v>0</v>
      </c>
      <c r="H11" s="9">
        <f>G11/'Current ICL Eligible Number'!B9</f>
        <v>0</v>
      </c>
      <c r="I11" s="1">
        <v>25.428571428571399</v>
      </c>
    </row>
    <row r="12" spans="1:9" x14ac:dyDescent="0.35">
      <c r="A12" s="14" t="s">
        <v>122</v>
      </c>
      <c r="B12" s="6"/>
      <c r="C12" s="6"/>
      <c r="D12" s="6"/>
      <c r="E12" s="6">
        <v>0</v>
      </c>
      <c r="F12" s="6">
        <v>0</v>
      </c>
      <c r="G12" s="8">
        <f t="shared" si="1"/>
        <v>0</v>
      </c>
      <c r="H12" s="9">
        <f>G12/'Current ICL Eligible Number'!B10</f>
        <v>0</v>
      </c>
      <c r="I12" s="1">
        <v>24.1428571428571</v>
      </c>
    </row>
    <row r="15" spans="1:9" x14ac:dyDescent="0.35">
      <c r="B15" s="12" t="s">
        <v>17</v>
      </c>
      <c r="C15" s="12" t="s">
        <v>18</v>
      </c>
      <c r="D15" s="13" t="s">
        <v>19</v>
      </c>
    </row>
    <row r="16" spans="1:9" x14ac:dyDescent="0.35">
      <c r="A16" s="14" t="s">
        <v>127</v>
      </c>
      <c r="B16" s="10">
        <f t="shared" ref="B16:B25" si="2">C3+E3</f>
        <v>0</v>
      </c>
      <c r="C16" s="10"/>
      <c r="D16" s="11">
        <f>B16+C16</f>
        <v>0</v>
      </c>
    </row>
    <row r="17" spans="1:4" x14ac:dyDescent="0.35">
      <c r="A17" s="14" t="s">
        <v>124</v>
      </c>
      <c r="B17" s="10">
        <f t="shared" si="2"/>
        <v>0</v>
      </c>
      <c r="C17" s="10"/>
      <c r="D17" s="11">
        <f>B17+C17</f>
        <v>0</v>
      </c>
    </row>
    <row r="18" spans="1:4" x14ac:dyDescent="0.35">
      <c r="A18" s="14" t="s">
        <v>125</v>
      </c>
      <c r="B18" s="10">
        <f t="shared" si="2"/>
        <v>0</v>
      </c>
      <c r="C18" s="10"/>
      <c r="D18" s="11">
        <f>B18+C18</f>
        <v>0</v>
      </c>
    </row>
    <row r="19" spans="1:4" x14ac:dyDescent="0.35">
      <c r="A19" s="14" t="s">
        <v>121</v>
      </c>
      <c r="B19" s="10">
        <f t="shared" si="2"/>
        <v>0</v>
      </c>
      <c r="C19" s="10"/>
      <c r="D19" s="11">
        <f>B19+C19</f>
        <v>0</v>
      </c>
    </row>
    <row r="20" spans="1:4" x14ac:dyDescent="0.35">
      <c r="A20" s="14" t="s">
        <v>123</v>
      </c>
      <c r="B20" s="10">
        <f t="shared" si="2"/>
        <v>0</v>
      </c>
      <c r="C20" s="10"/>
      <c r="D20" s="11">
        <f t="shared" ref="D20:D25" si="3">B20+C20</f>
        <v>0</v>
      </c>
    </row>
    <row r="21" spans="1:4" x14ac:dyDescent="0.35">
      <c r="A21" s="14" t="s">
        <v>126</v>
      </c>
      <c r="B21" s="10">
        <f t="shared" si="2"/>
        <v>0</v>
      </c>
      <c r="C21" s="10"/>
      <c r="D21" s="11">
        <f t="shared" si="3"/>
        <v>0</v>
      </c>
    </row>
    <row r="22" spans="1:4" x14ac:dyDescent="0.35">
      <c r="A22" s="14" t="s">
        <v>105</v>
      </c>
      <c r="B22" s="10">
        <f t="shared" si="2"/>
        <v>0</v>
      </c>
      <c r="C22" s="10"/>
      <c r="D22" s="11">
        <f t="shared" si="3"/>
        <v>0</v>
      </c>
    </row>
    <row r="23" spans="1:4" x14ac:dyDescent="0.35">
      <c r="A23" s="14" t="s">
        <v>104</v>
      </c>
      <c r="B23" s="10">
        <f t="shared" si="2"/>
        <v>0</v>
      </c>
      <c r="C23" s="10"/>
      <c r="D23" s="11">
        <f t="shared" si="3"/>
        <v>0</v>
      </c>
    </row>
    <row r="24" spans="1:4" x14ac:dyDescent="0.35">
      <c r="A24" s="14" t="s">
        <v>102</v>
      </c>
      <c r="B24" s="10">
        <f t="shared" si="2"/>
        <v>0</v>
      </c>
      <c r="C24" s="10"/>
      <c r="D24" s="11">
        <f t="shared" si="3"/>
        <v>0</v>
      </c>
    </row>
    <row r="25" spans="1:4" x14ac:dyDescent="0.35">
      <c r="A25" s="14" t="s">
        <v>122</v>
      </c>
      <c r="B25" s="10">
        <f t="shared" si="2"/>
        <v>0</v>
      </c>
      <c r="C25" s="10"/>
      <c r="D25" s="11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3C5158ACE89489F1F91E8172746EA" ma:contentTypeVersion="18" ma:contentTypeDescription="Create a new document." ma:contentTypeScope="" ma:versionID="5add787c5e3d74fe8c0f0fa8a732c147">
  <xsd:schema xmlns:xsd="http://www.w3.org/2001/XMLSchema" xmlns:xs="http://www.w3.org/2001/XMLSchema" xmlns:p="http://schemas.microsoft.com/office/2006/metadata/properties" xmlns:ns2="341bc666-d55d-4268-986e-dfbc5a5d93b6" xmlns:ns3="0f4581ad-c3dd-4ef7-beff-5f6cac8f1c21" targetNamespace="http://schemas.microsoft.com/office/2006/metadata/properties" ma:root="true" ma:fieldsID="8b45b7dded6709d033103a0ca77ce16f" ns2:_="" ns3:_="">
    <xsd:import namespace="341bc666-d55d-4268-986e-dfbc5a5d93b6"/>
    <xsd:import namespace="0f4581ad-c3dd-4ef7-beff-5f6cac8f1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c666-d55d-4268-986e-dfbc5a5d9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590b89-a786-48e6-9418-682e7efc0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581ad-c3dd-4ef7-beff-5f6cac8f1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1fea8ba-b6f4-45b1-b30a-8963db4aadc2}" ma:internalName="TaxCatchAll" ma:showField="CatchAllData" ma:web="0f4581ad-c3dd-4ef7-beff-5f6cac8f1c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bc666-d55d-4268-986e-dfbc5a5d93b6">
      <Terms xmlns="http://schemas.microsoft.com/office/infopath/2007/PartnerControls"/>
    </lcf76f155ced4ddcb4097134ff3c332f>
    <TaxCatchAll xmlns="0f4581ad-c3dd-4ef7-beff-5f6cac8f1c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F0058-AE28-4B09-B54E-B61F161CD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bc666-d55d-4268-986e-dfbc5a5d93b6"/>
    <ds:schemaRef ds:uri="0f4581ad-c3dd-4ef7-beff-5f6cac8f1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F2796B-7086-4386-B858-B79914B79A92}">
  <ds:schemaRefs>
    <ds:schemaRef ds:uri="http://schemas.microsoft.com/office/2006/metadata/properties"/>
    <ds:schemaRef ds:uri="http://schemas.microsoft.com/office/infopath/2007/PartnerControls"/>
    <ds:schemaRef ds:uri="341bc666-d55d-4268-986e-dfbc5a5d93b6"/>
    <ds:schemaRef ds:uri="0f4581ad-c3dd-4ef7-beff-5f6cac8f1c21"/>
  </ds:schemaRefs>
</ds:datastoreItem>
</file>

<file path=customXml/itemProps3.xml><?xml version="1.0" encoding="utf-8"?>
<ds:datastoreItem xmlns:ds="http://schemas.openxmlformats.org/officeDocument/2006/customXml" ds:itemID="{4B9C1E06-8DC2-41D1-94BE-8913148EE6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Premier League R2 Sprint</vt:lpstr>
      <vt:lpstr>Premier League R2 Super Sprint</vt:lpstr>
      <vt:lpstr>Premier League R2 Aquabike</vt:lpstr>
      <vt:lpstr>Current ICL Eligible Number</vt:lpstr>
      <vt:lpstr>Adams manual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Croker</dc:creator>
  <cp:lastModifiedBy>Sarah Gordon</cp:lastModifiedBy>
  <dcterms:created xsi:type="dcterms:W3CDTF">2025-08-21T05:32:24Z</dcterms:created>
  <dcterms:modified xsi:type="dcterms:W3CDTF">2025-11-20T01:50:48Z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0x0101007193C5158ACE89489F1F91E8172746EA</vt:lpwstr>
  </property>
  <property fmtid="{D5CDD505-2E9C-101B-9397-08002B2CF9AE}" pid="3" name="MediaServiceImageTags">
    <vt:lpwstr/>
  </property>
</Properties>
</file>